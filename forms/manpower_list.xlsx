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chem365-my.sharepoint.com/personal/mpark10_lgchem_com/Documents/문서/"/>
    </mc:Choice>
  </mc:AlternateContent>
  <bookViews>
    <workbookView xWindow="-120" yWindow="-120" windowWidth="38640" windowHeight="15720" xr2:uid="{2769D15E-21E6-46EE-92D8-34E88B61D95F}"/>
  </bookViews>
  <sheets>
    <sheet name="별첨2. 수급인의 취급시설 및 인력명세서" sheetId="1" r:id="rId1"/>
  </sheets>
  <externalReferences>
    <externalReference r:id="rId2"/>
  </externalReferences>
  <definedNames>
    <definedName name="_xlnm.Print_Area" localSheetId="0">'별첨2. 수급인의 취급시설 및 인력명세서'!$A$1:$I$22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G17" i="1"/>
  <c r="B17" i="1"/>
  <c r="A17" i="1"/>
  <c r="G16" i="1"/>
  <c r="B16" i="1"/>
  <c r="A16" i="1"/>
  <c r="G15" i="1"/>
  <c r="B15" i="1"/>
  <c r="A15" i="1"/>
  <c r="G14" i="1"/>
  <c r="B14" i="1"/>
  <c r="A14" i="1"/>
  <c r="G13" i="1"/>
  <c r="B13" i="1"/>
  <c r="A13" i="1"/>
  <c r="G12" i="1"/>
  <c r="B12" i="1"/>
  <c r="A12" i="1"/>
  <c r="G11" i="1"/>
  <c r="B11" i="1"/>
  <c r="A11" i="1"/>
  <c r="G10" i="1"/>
  <c r="B10" i="1"/>
  <c r="A10" i="1"/>
  <c r="G9" i="1"/>
  <c r="B9" i="1"/>
  <c r="A9" i="1"/>
  <c r="G8" i="1"/>
  <c r="B8" i="1"/>
  <c r="A8" i="1"/>
  <c r="G7" i="1"/>
  <c r="B7" i="1"/>
  <c r="A7" i="1"/>
  <c r="G6" i="1"/>
  <c r="B6" i="1"/>
  <c r="A6" i="1"/>
</calcChain>
</file>

<file path=xl/sharedStrings.xml><?xml version="1.0" encoding="utf-8"?>
<sst xmlns="http://schemas.openxmlformats.org/spreadsheetml/2006/main" count="18" uniqueCount="18">
  <si>
    <t>[별첨 2] 수급인의 취급시설 및 인력명세서</t>
    <phoneticPr fontId="2" type="noConversion"/>
  </si>
  <si>
    <t>수급 업체명</t>
  </si>
  <si>
    <t>순번</t>
  </si>
  <si>
    <t>작업자 인적사항</t>
  </si>
  <si>
    <t>유해화학물질 취급담당자 교육 이수</t>
  </si>
  <si>
    <t>성명</t>
  </si>
  <si>
    <t>생년월일</t>
  </si>
  <si>
    <t>직급</t>
  </si>
  <si>
    <t>연락처</t>
  </si>
  <si>
    <t>유형</t>
  </si>
  <si>
    <t>오프라인 이수번호</t>
  </si>
  <si>
    <t>온라인 이수번호</t>
  </si>
  <si>
    <t>※ 유해화학물질 교육 유형</t>
  </si>
  <si>
    <r>
      <t>- 유형 1 : 오프라인 8시간, 온라인 8시간</t>
    </r>
    <r>
      <rPr>
        <sz val="11"/>
        <color rgb="FF0000FF"/>
        <rFont val="돋움체"/>
        <family val="3"/>
        <charset val="129"/>
      </rPr>
      <t>(이수년도 같아야 함)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돋움체"/>
        <family val="3"/>
        <charset val="129"/>
      </rPr>
      <t>/ 유형 2 : 오프라인 16시간</t>
    </r>
    <phoneticPr fontId="2" type="noConversion"/>
  </si>
  <si>
    <t>- 당해연도 기준 2년 이전 교육이수증까지 유효함</t>
    <phoneticPr fontId="2" type="noConversion"/>
  </si>
  <si>
    <t xml:space="preserve">도급사 : </t>
    <phoneticPr fontId="2" type="noConversion"/>
  </si>
  <si>
    <t>㈜LG화학</t>
    <phoneticPr fontId="2" type="noConversion"/>
  </si>
  <si>
    <t xml:space="preserve">수급사 :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</si>
</sst>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바탕체"/>
      <family val="1"/>
      <charset val="129"/>
    </font>
    <font>
      <b/>
      <sz val="10"/>
      <color rgb="FF000000"/>
      <name val="바탕체"/>
      <family val="1"/>
      <charset val="129"/>
    </font>
    <font>
      <sz val="10"/>
      <name val="바탕체"/>
      <family val="1"/>
      <charset val="129"/>
    </font>
    <font>
      <sz val="11"/>
      <color rgb="FF000000"/>
      <name val="돋움체"/>
      <family val="3"/>
      <charset val="129"/>
    </font>
    <font>
      <sz val="11"/>
      <color rgb="FF0000FF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color theme="1"/>
      <name val="바탕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vertical="center"/>
    </xf>
    <xf numFmtId="0" fontId="7" fillId="2" borderId="0" xfId="0" quotePrefix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973977</xdr:colOff>
      <xdr:row>20</xdr:row>
      <xdr:rowOff>78441</xdr:rowOff>
    </xdr:from>
    <xdr:ext cx="411523" cy="3362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9752B3-319B-402D-A961-1DD100588301}"/>
            </a:ext>
          </a:extLst>
        </xdr:cNvPr>
        <xdr:cNvSpPr txBox="1"/>
      </xdr:nvSpPr>
      <xdr:spPr>
        <a:xfrm>
          <a:off x="8651127" y="4955241"/>
          <a:ext cx="4115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(</a:t>
          </a:r>
          <a:r>
            <a:rPr lang="ko-KR" altLang="en-US" sz="1100"/>
            <a:t>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oneCellAnchor>
    <xdr:from>
      <xdr:col>8</xdr:col>
      <xdr:colOff>958102</xdr:colOff>
      <xdr:row>21</xdr:row>
      <xdr:rowOff>169956</xdr:rowOff>
    </xdr:from>
    <xdr:ext cx="411523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E67236-9C53-4B9B-B279-35A561068A4C}"/>
            </a:ext>
          </a:extLst>
        </xdr:cNvPr>
        <xdr:cNvSpPr txBox="1"/>
      </xdr:nvSpPr>
      <xdr:spPr>
        <a:xfrm>
          <a:off x="8635252" y="5561106"/>
          <a:ext cx="4115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(</a:t>
          </a:r>
          <a:r>
            <a:rPr lang="ko-KR" altLang="en-US" sz="1100"/>
            <a:t>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oneCellAnchor>
    <xdr:from>
      <xdr:col>9</xdr:col>
      <xdr:colOff>381000</xdr:colOff>
      <xdr:row>2</xdr:row>
      <xdr:rowOff>56029</xdr:rowOff>
    </xdr:from>
    <xdr:ext cx="4540217" cy="1905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FA42DB-FA04-41D7-AEA0-EA7B5C3FD9C8}"/>
            </a:ext>
          </a:extLst>
        </xdr:cNvPr>
        <xdr:cNvSpPr txBox="1"/>
      </xdr:nvSpPr>
      <xdr:spPr>
        <a:xfrm>
          <a:off x="9915525" y="665629"/>
          <a:ext cx="4540217" cy="190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 baseline="0"/>
            <a:t>1. </a:t>
          </a:r>
          <a:r>
            <a:rPr lang="ko-KR" altLang="en-US" sz="1100" b="0" baseline="0"/>
            <a:t>작업자가 </a:t>
          </a:r>
          <a:r>
            <a:rPr lang="en-US" altLang="ko-KR" sz="1100" b="0" baseline="0"/>
            <a:t>12</a:t>
          </a:r>
          <a:r>
            <a:rPr lang="ko-KR" altLang="en-US" sz="1100" b="0" baseline="0"/>
            <a:t>명을 초과할 경우</a:t>
          </a:r>
          <a:r>
            <a:rPr lang="en-US" altLang="ko-KR" sz="1100" b="0" baseline="0"/>
            <a:t>, </a:t>
          </a:r>
          <a:r>
            <a:rPr lang="ko-KR" altLang="en-US" sz="1100" b="1" baseline="0">
              <a:solidFill>
                <a:srgbClr val="FF0000"/>
              </a:solidFill>
            </a:rPr>
            <a:t>셀 추가</a:t>
          </a:r>
          <a:r>
            <a:rPr lang="ko-KR" altLang="en-US" sz="1100" b="0" baseline="0"/>
            <a:t>하여 작성</a:t>
          </a:r>
          <a:endParaRPr lang="en-US" altLang="ko-KR" sz="1100" b="0" baseline="0"/>
        </a:p>
        <a:p>
          <a:r>
            <a:rPr lang="en-US" altLang="ko-KR" sz="1400" b="1" baseline="0"/>
            <a:t>2. </a:t>
          </a:r>
          <a:r>
            <a:rPr lang="ko-KR" altLang="en-US" sz="1100" b="0" baseline="0"/>
            <a:t>작성 양식</a:t>
          </a:r>
          <a:endParaRPr lang="en-US" altLang="ko-KR" sz="1100" b="0" baseline="0"/>
        </a:p>
        <a:p>
          <a:r>
            <a:rPr lang="en-US" altLang="ko-KR" sz="1100" b="0" baseline="0"/>
            <a:t>    1) </a:t>
          </a:r>
          <a:r>
            <a:rPr lang="ko-KR" altLang="en-US" sz="1100" b="0" baseline="0"/>
            <a:t>생년월일 </a:t>
          </a:r>
          <a:r>
            <a:rPr lang="en-US" altLang="ko-KR" sz="1100" b="0" baseline="0"/>
            <a:t>: </a:t>
          </a:r>
          <a:r>
            <a:rPr lang="en-US" altLang="ko-KR" sz="1100" b="0" baseline="0">
              <a:solidFill>
                <a:srgbClr val="0000FF"/>
              </a:solidFill>
            </a:rPr>
            <a:t>yyyy.mm.dd</a:t>
          </a:r>
        </a:p>
        <a:p>
          <a:r>
            <a:rPr lang="en-US" altLang="ko-KR" sz="1100" b="0" baseline="0"/>
            <a:t>    2) </a:t>
          </a:r>
          <a:r>
            <a:rPr lang="ko-KR" altLang="en-US" sz="1100" b="0" baseline="0"/>
            <a:t>연락처 </a:t>
          </a:r>
          <a:r>
            <a:rPr lang="en-US" altLang="ko-KR" sz="1100" b="0" baseline="0"/>
            <a:t>: </a:t>
          </a:r>
          <a:r>
            <a:rPr lang="en-US" altLang="ko-KR" sz="1100" b="0" baseline="0">
              <a:solidFill>
                <a:srgbClr val="0000FF"/>
              </a:solidFill>
            </a:rPr>
            <a:t>000-0000-000</a:t>
          </a:r>
        </a:p>
        <a:p>
          <a:r>
            <a:rPr lang="en-US" altLang="ko-KR" sz="1400" b="1" baseline="0"/>
            <a:t>3.</a:t>
          </a:r>
          <a:r>
            <a:rPr lang="en-US" altLang="ko-KR" sz="1100" baseline="0"/>
            <a:t> </a:t>
          </a:r>
          <a:r>
            <a:rPr lang="ko-KR" altLang="en-US" sz="1100" baseline="0"/>
            <a:t>교육은 </a:t>
          </a:r>
          <a:r>
            <a:rPr lang="en-US" altLang="ko-KR" sz="1100" b="1" baseline="0">
              <a:solidFill>
                <a:srgbClr val="FF0000"/>
              </a:solidFill>
            </a:rPr>
            <a:t>2023</a:t>
          </a:r>
          <a:r>
            <a:rPr lang="ko-KR" altLang="en-US" sz="1100" b="1" baseline="0">
              <a:solidFill>
                <a:srgbClr val="FF0000"/>
              </a:solidFill>
            </a:rPr>
            <a:t>년  </a:t>
          </a:r>
          <a:r>
            <a:rPr lang="en-US" altLang="ko-KR" sz="1100" b="1" baseline="0">
              <a:solidFill>
                <a:srgbClr val="FF0000"/>
              </a:solidFill>
            </a:rPr>
            <a:t>1</a:t>
          </a:r>
          <a:r>
            <a:rPr lang="ko-KR" altLang="en-US" sz="1100" b="1" baseline="0">
              <a:solidFill>
                <a:srgbClr val="FF0000"/>
              </a:solidFill>
            </a:rPr>
            <a:t>월 </a:t>
          </a:r>
          <a:r>
            <a:rPr lang="en-US" altLang="ko-KR" sz="1100" b="1" baseline="0">
              <a:solidFill>
                <a:srgbClr val="FF0000"/>
              </a:solidFill>
            </a:rPr>
            <a:t>1</a:t>
          </a:r>
          <a:r>
            <a:rPr lang="ko-KR" altLang="en-US" sz="1100" b="1" baseline="0">
              <a:solidFill>
                <a:srgbClr val="FF0000"/>
              </a:solidFill>
            </a:rPr>
            <a:t>일  이후</a:t>
          </a:r>
          <a:r>
            <a:rPr lang="ko-KR" altLang="en-US" sz="1100" baseline="0">
              <a:solidFill>
                <a:srgbClr val="FF0000"/>
              </a:solidFill>
            </a:rPr>
            <a:t> </a:t>
          </a:r>
          <a:r>
            <a:rPr lang="ko-KR" altLang="en-US" sz="1100" baseline="0"/>
            <a:t>수료한 것만 유효함</a:t>
          </a:r>
          <a:r>
            <a:rPr lang="en-US" altLang="ko-KR" sz="1100" baseline="0"/>
            <a:t>.</a:t>
          </a:r>
        </a:p>
        <a:p>
          <a:r>
            <a:rPr lang="en-US" altLang="ko-KR" sz="1400" b="1" baseline="0"/>
            <a:t>4. </a:t>
          </a:r>
          <a:r>
            <a:rPr lang="ko-KR" altLang="en-US" sz="1100" b="1" u="sng" baseline="0">
              <a:solidFill>
                <a:srgbClr val="FF0000"/>
              </a:solidFill>
            </a:rPr>
            <a:t>날인본을 스캔</a:t>
          </a:r>
          <a:r>
            <a:rPr lang="ko-KR" altLang="en-US" sz="1100" baseline="0"/>
            <a:t>하여 </a:t>
          </a:r>
          <a:r>
            <a:rPr lang="en-US" altLang="ko-KR" sz="1100" b="1" u="sng" baseline="0">
              <a:solidFill>
                <a:srgbClr val="FF0000"/>
              </a:solidFill>
            </a:rPr>
            <a:t>[</a:t>
          </a:r>
          <a:r>
            <a:rPr lang="ko-KR" altLang="en-US" sz="1100" b="1" u="sng" baseline="0">
              <a:solidFill>
                <a:srgbClr val="FF0000"/>
              </a:solidFill>
            </a:rPr>
            <a:t>수급인의 취급시설 및 인력명세서</a:t>
          </a:r>
          <a:r>
            <a:rPr lang="en-US" altLang="ko-KR" sz="1100" b="1" u="sng" baseline="0">
              <a:solidFill>
                <a:srgbClr val="FF0000"/>
              </a:solidFill>
            </a:rPr>
            <a:t>_</a:t>
          </a:r>
          <a:r>
            <a:rPr lang="ko-KR" altLang="en-US" sz="1100" b="1" u="sng" baseline="0">
              <a:solidFill>
                <a:srgbClr val="FF0000"/>
              </a:solidFill>
            </a:rPr>
            <a:t>업체명</a:t>
          </a:r>
          <a:r>
            <a:rPr lang="en-US" altLang="ko-KR" sz="1100" b="1" u="sng" baseline="0">
              <a:solidFill>
                <a:srgbClr val="FF0000"/>
              </a:solidFill>
            </a:rPr>
            <a:t>]</a:t>
          </a:r>
          <a:r>
            <a:rPr lang="ko-KR" altLang="en-US" sz="1100" baseline="0"/>
            <a:t>의</a:t>
          </a:r>
          <a:endParaRPr lang="en-US" altLang="ko-KR" sz="1100" baseline="0"/>
        </a:p>
        <a:p>
          <a:r>
            <a:rPr lang="en-US" altLang="ko-KR" sz="1100" baseline="0"/>
            <a:t>      </a:t>
          </a:r>
          <a:r>
            <a:rPr lang="ko-KR" altLang="en-US" sz="1100" baseline="0"/>
            <a:t>파일명</a:t>
          </a:r>
          <a:r>
            <a:rPr lang="en-US" altLang="ko-KR" sz="1100" baseline="0"/>
            <a:t>(PDF)</a:t>
          </a:r>
          <a:r>
            <a:rPr lang="ko-KR" altLang="en-US" sz="1100" baseline="0"/>
            <a:t>으로 첨부</a:t>
          </a:r>
          <a:endParaRPr lang="en-US" altLang="ko-KR" sz="1100" baseline="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8148;&#53461;%20&#54868;&#47732;/&#9733;%20&#50629;&#47924;&#51064;&#49688;&#51064;&#44228;(&#51060;&#44305;&#54788;&#52293;&#51076;)/01.%20&#54868;&#54617;&#47932;&#51656;/01.%20&#46020;&#44553;&#49888;&#44256;/&#50577;&#49885;/(&#50577;&#49885;)%20&#46020;&#44553;&#49888;&#44256;%20&#54596;&#49688;%20&#51089;&#49457;%20&#49324;&#54637;_20250723.xlsx" TargetMode="External"/><Relationship Id="rId2" Type="http://schemas.openxmlformats.org/officeDocument/2006/relationships/externalLinkPath" Target="file:///C:\Users\mpark10\Desktop\&#9733;%20&#50629;&#47924;&#51064;&#49688;&#51064;&#44228;(&#51060;&#44305;&#54788;&#52293;&#51076;)\01.%20&#54868;&#54617;&#47932;&#51656;\01.%20&#46020;&#44553;&#49888;&#44256;\(&#50577;&#49885;)%20&#46020;&#44553;&#49888;&#44256;%20&#54596;&#49688;%20&#51089;&#49457;%20&#49324;&#54637;_20250723.xlsx" TargetMode="External"/><Relationship Id="rId1" Type="http://schemas.openxmlformats.org/officeDocument/2006/relationships/externalLinkPath" Target="/personal/mpark10_lgchem_com/Documents/&#48148;&#53461;%20&#54868;&#47732;/&#9733;%20&#50629;&#47924;&#51064;&#49688;&#51064;&#44228;(&#51060;&#44305;&#54788;&#52293;&#51076;)/01.%20&#54868;&#54617;&#47932;&#51656;/01.%20&#46020;&#44553;&#49888;&#44256;/&#50577;&#49885;/(&#50577;&#49885;)%20&#46020;&#44553;&#49888;&#44256;%20&#54596;&#49688;%20&#51089;&#49457;%20&#49324;&#54637;_2025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요약"/>
      <sheetName val="1. 도급내용"/>
      <sheetName val="2. 도급인 기본정보"/>
      <sheetName val="3. 도급계획서"/>
      <sheetName val="4. 화학사고예방관리계획서"/>
      <sheetName val="별첨1. 수급인이 보유한 개인보호장구 명세서"/>
      <sheetName val="별첨2. 수급인의 취급시설 및 인력명세서"/>
    </sheetNames>
    <sheetDataSet>
      <sheetData sheetId="0"/>
      <sheetData sheetId="1">
        <row r="3">
          <cell r="A3" t="str">
            <v>000 주식회사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26B-2DBA-4C3C-87BF-B114F3D5D4C6}">
  <sheetPr>
    <tabColor rgb="FFFFC000"/>
    <pageSetUpPr fitToPage="1"/>
  </sheetPr>
  <dimension ref="A1:I23"/>
  <sheetViews>
    <sheetView tabSelected="1" zoomScaleNormal="100" zoomScaleSheetLayoutView="85" workbookViewId="0">
      <selection activeCell="A2" sqref="A2"/>
    </sheetView>
  </sheetViews>
  <sheetFormatPr defaultRowHeight="16.5" x14ac:dyDescent="0.3"/>
  <cols>
    <col min="1" max="1" width="15.75" style="8" customWidth="1"/>
    <col min="2" max="2" width="6.625" style="8" customWidth="1"/>
    <col min="3" max="3" width="9" style="8"/>
    <col min="4" max="4" width="11.875" style="8" customWidth="1"/>
    <col min="5" max="5" width="9" style="8"/>
    <col min="6" max="6" width="15.875" style="8" customWidth="1"/>
    <col min="7" max="7" width="8.25" style="8" customWidth="1"/>
    <col min="8" max="9" width="24.375" style="8" customWidth="1"/>
    <col min="10" max="16384" width="9" style="8"/>
  </cols>
  <sheetData>
    <row r="1" spans="1:9" s="2" customFormat="1" ht="13.5" x14ac:dyDescent="0.3">
      <c r="A1" s="1"/>
      <c r="B1" s="1"/>
      <c r="C1" s="1"/>
      <c r="D1" s="1"/>
      <c r="E1" s="1"/>
      <c r="F1" s="1"/>
      <c r="G1" s="1"/>
      <c r="H1" s="1"/>
      <c r="I1" s="1"/>
    </row>
    <row r="2" spans="1:9" s="2" customFormat="1" ht="34.5" customHeight="1" x14ac:dyDescent="0.3">
      <c r="A2" s="3" t="s">
        <v>0</v>
      </c>
      <c r="B2" s="3"/>
      <c r="C2" s="1"/>
      <c r="D2" s="1"/>
      <c r="E2" s="1"/>
      <c r="F2" s="1"/>
      <c r="G2" s="1"/>
      <c r="H2" s="1"/>
      <c r="I2" s="1"/>
    </row>
    <row r="3" spans="1:9" s="2" customFormat="1" ht="8.2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23.25" customHeight="1" x14ac:dyDescent="0.3">
      <c r="A4" s="4" t="s">
        <v>1</v>
      </c>
      <c r="B4" s="4" t="s">
        <v>2</v>
      </c>
      <c r="C4" s="5" t="s">
        <v>3</v>
      </c>
      <c r="D4" s="6"/>
      <c r="E4" s="6"/>
      <c r="F4" s="7"/>
      <c r="G4" s="5" t="s">
        <v>4</v>
      </c>
      <c r="H4" s="6"/>
      <c r="I4" s="7"/>
    </row>
    <row r="5" spans="1:9" ht="23.25" customHeight="1" x14ac:dyDescent="0.3">
      <c r="A5" s="9"/>
      <c r="B5" s="9"/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18" customHeight="1" x14ac:dyDescent="0.3">
      <c r="A6" s="11" t="str">
        <f>'[1]1. 도급내용'!$A$3</f>
        <v>000 주식회사</v>
      </c>
      <c r="B6" s="11">
        <f>ROW()-5</f>
        <v>1</v>
      </c>
      <c r="C6" s="11"/>
      <c r="D6" s="11"/>
      <c r="E6" s="11"/>
      <c r="F6" s="11"/>
      <c r="G6" s="12" t="str">
        <f>IF(AND(H6&lt;&gt;"",I6&lt;&gt;"")=TRUE,1,IF(AND(H6&lt;&gt;"",I6=""),2,""))</f>
        <v/>
      </c>
      <c r="H6" s="11"/>
      <c r="I6" s="11"/>
    </row>
    <row r="7" spans="1:9" ht="18" customHeight="1" x14ac:dyDescent="0.3">
      <c r="A7" s="11" t="str">
        <f>IF(C7&lt;&gt;"",'[1]1. 도급내용'!$A$3,"")</f>
        <v/>
      </c>
      <c r="B7" s="11" t="str">
        <f>IF(C7&lt;&gt;"",ROW()-5,"")</f>
        <v/>
      </c>
      <c r="C7" s="11"/>
      <c r="D7" s="11"/>
      <c r="E7" s="11"/>
      <c r="F7" s="11"/>
      <c r="G7" s="12" t="str">
        <f t="shared" ref="G7:G17" si="0">IF(AND(H7&lt;&gt;"",I7&lt;&gt;"")=TRUE,1,IF(AND(H7&lt;&gt;"",I7=""),2,""))</f>
        <v/>
      </c>
      <c r="H7" s="11"/>
      <c r="I7" s="11"/>
    </row>
    <row r="8" spans="1:9" ht="18" customHeight="1" x14ac:dyDescent="0.3">
      <c r="A8" s="11" t="str">
        <f>IF(C8&lt;&gt;"",'[1]1. 도급내용'!$A$3,"")</f>
        <v/>
      </c>
      <c r="B8" s="11" t="str">
        <f t="shared" ref="B8:B17" si="1">IF(C8&lt;&gt;"",ROW()-5,"")</f>
        <v/>
      </c>
      <c r="C8" s="11"/>
      <c r="D8" s="11"/>
      <c r="E8" s="11"/>
      <c r="F8" s="11"/>
      <c r="G8" s="12" t="str">
        <f t="shared" si="0"/>
        <v/>
      </c>
      <c r="H8" s="11"/>
      <c r="I8" s="11"/>
    </row>
    <row r="9" spans="1:9" ht="18" customHeight="1" x14ac:dyDescent="0.3">
      <c r="A9" s="11" t="str">
        <f>IF(C9&lt;&gt;"",'[1]1. 도급내용'!$A$3,"")</f>
        <v/>
      </c>
      <c r="B9" s="11" t="str">
        <f t="shared" si="1"/>
        <v/>
      </c>
      <c r="C9" s="11"/>
      <c r="D9" s="11"/>
      <c r="E9" s="11"/>
      <c r="F9" s="11"/>
      <c r="G9" s="12" t="str">
        <f t="shared" si="0"/>
        <v/>
      </c>
      <c r="H9" s="11"/>
      <c r="I9" s="11"/>
    </row>
    <row r="10" spans="1:9" ht="18" customHeight="1" x14ac:dyDescent="0.3">
      <c r="A10" s="11" t="str">
        <f>IF(C10&lt;&gt;"",'[1]1. 도급내용'!$A$3,"")</f>
        <v/>
      </c>
      <c r="B10" s="11" t="str">
        <f t="shared" si="1"/>
        <v/>
      </c>
      <c r="C10" s="11"/>
      <c r="D10" s="11"/>
      <c r="E10" s="11"/>
      <c r="F10" s="11"/>
      <c r="G10" s="12" t="str">
        <f t="shared" si="0"/>
        <v/>
      </c>
      <c r="H10" s="11"/>
      <c r="I10" s="11"/>
    </row>
    <row r="11" spans="1:9" ht="18" customHeight="1" x14ac:dyDescent="0.3">
      <c r="A11" s="11" t="str">
        <f>IF(C11&lt;&gt;"",'[1]1. 도급내용'!$A$3,"")</f>
        <v/>
      </c>
      <c r="B11" s="11" t="str">
        <f t="shared" si="1"/>
        <v/>
      </c>
      <c r="C11" s="11"/>
      <c r="D11" s="11"/>
      <c r="E11" s="11"/>
      <c r="F11" s="11"/>
      <c r="G11" s="12" t="str">
        <f t="shared" si="0"/>
        <v/>
      </c>
      <c r="H11" s="11"/>
      <c r="I11" s="11"/>
    </row>
    <row r="12" spans="1:9" ht="18" customHeight="1" x14ac:dyDescent="0.3">
      <c r="A12" s="11" t="str">
        <f>IF(C12&lt;&gt;"",'[1]1. 도급내용'!$A$3,"")</f>
        <v/>
      </c>
      <c r="B12" s="11" t="str">
        <f t="shared" si="1"/>
        <v/>
      </c>
      <c r="C12" s="11"/>
      <c r="D12" s="11"/>
      <c r="E12" s="11"/>
      <c r="F12" s="11"/>
      <c r="G12" s="12" t="str">
        <f t="shared" si="0"/>
        <v/>
      </c>
      <c r="H12" s="11"/>
      <c r="I12" s="11"/>
    </row>
    <row r="13" spans="1:9" ht="18" customHeight="1" x14ac:dyDescent="0.3">
      <c r="A13" s="11" t="str">
        <f>IF(C13&lt;&gt;"",'[1]1. 도급내용'!$A$3,"")</f>
        <v/>
      </c>
      <c r="B13" s="11" t="str">
        <f t="shared" si="1"/>
        <v/>
      </c>
      <c r="C13" s="11"/>
      <c r="D13" s="11"/>
      <c r="E13" s="11"/>
      <c r="F13" s="11"/>
      <c r="G13" s="12" t="str">
        <f t="shared" si="0"/>
        <v/>
      </c>
      <c r="H13" s="11"/>
      <c r="I13" s="11"/>
    </row>
    <row r="14" spans="1:9" ht="18" customHeight="1" x14ac:dyDescent="0.3">
      <c r="A14" s="11" t="str">
        <f>IF(C14&lt;&gt;"",'[1]1. 도급내용'!$A$3,"")</f>
        <v/>
      </c>
      <c r="B14" s="11" t="str">
        <f t="shared" si="1"/>
        <v/>
      </c>
      <c r="C14" s="11"/>
      <c r="D14" s="11"/>
      <c r="E14" s="11"/>
      <c r="F14" s="11"/>
      <c r="G14" s="12" t="str">
        <f t="shared" si="0"/>
        <v/>
      </c>
      <c r="H14" s="11"/>
      <c r="I14" s="11"/>
    </row>
    <row r="15" spans="1:9" ht="18" customHeight="1" x14ac:dyDescent="0.3">
      <c r="A15" s="11" t="str">
        <f>IF(C15&lt;&gt;"",'[1]1. 도급내용'!$A$3,"")</f>
        <v/>
      </c>
      <c r="B15" s="11" t="str">
        <f t="shared" si="1"/>
        <v/>
      </c>
      <c r="C15" s="11"/>
      <c r="D15" s="11"/>
      <c r="E15" s="11"/>
      <c r="F15" s="11"/>
      <c r="G15" s="12" t="str">
        <f t="shared" si="0"/>
        <v/>
      </c>
      <c r="H15" s="11"/>
      <c r="I15" s="11"/>
    </row>
    <row r="16" spans="1:9" ht="18" customHeight="1" x14ac:dyDescent="0.3">
      <c r="A16" s="11" t="str">
        <f>IF(C16&lt;&gt;"",'[1]1. 도급내용'!$A$3,"")</f>
        <v/>
      </c>
      <c r="B16" s="11" t="str">
        <f t="shared" si="1"/>
        <v/>
      </c>
      <c r="C16" s="11"/>
      <c r="D16" s="11"/>
      <c r="E16" s="11"/>
      <c r="F16" s="11"/>
      <c r="G16" s="12" t="str">
        <f t="shared" si="0"/>
        <v/>
      </c>
      <c r="H16" s="11"/>
      <c r="I16" s="11"/>
    </row>
    <row r="17" spans="1:9" ht="18" customHeight="1" x14ac:dyDescent="0.3">
      <c r="A17" s="11" t="str">
        <f>IF(C17&lt;&gt;"",'[1]1. 도급내용'!$A$3,"")</f>
        <v/>
      </c>
      <c r="B17" s="11" t="str">
        <f t="shared" si="1"/>
        <v/>
      </c>
      <c r="C17" s="11"/>
      <c r="D17" s="11"/>
      <c r="E17" s="11"/>
      <c r="F17" s="11"/>
      <c r="G17" s="12" t="str">
        <f t="shared" si="0"/>
        <v/>
      </c>
      <c r="H17" s="11"/>
      <c r="I17" s="11"/>
    </row>
    <row r="18" spans="1:9" ht="21.75" customHeight="1" x14ac:dyDescent="0.3">
      <c r="A18" s="13" t="s">
        <v>12</v>
      </c>
      <c r="B18" s="13"/>
      <c r="C18" s="13"/>
      <c r="D18" s="13"/>
      <c r="E18" s="13"/>
      <c r="F18" s="13"/>
      <c r="G18" s="13"/>
      <c r="H18" s="13"/>
      <c r="I18" s="13"/>
    </row>
    <row r="19" spans="1:9" ht="21.75" customHeight="1" x14ac:dyDescent="0.3">
      <c r="A19" s="14" t="s">
        <v>13</v>
      </c>
      <c r="B19" s="13"/>
      <c r="C19" s="13"/>
      <c r="D19" s="13"/>
      <c r="E19" s="13"/>
      <c r="F19" s="13"/>
      <c r="G19" s="13"/>
      <c r="H19" s="13"/>
      <c r="I19" s="13"/>
    </row>
    <row r="20" spans="1:9" ht="21.75" customHeight="1" x14ac:dyDescent="0.3">
      <c r="A20" s="15" t="s">
        <v>14</v>
      </c>
      <c r="B20" s="16"/>
      <c r="C20" s="16"/>
      <c r="D20" s="16"/>
      <c r="E20" s="16"/>
      <c r="F20" s="16"/>
      <c r="G20" s="16"/>
      <c r="H20" s="16"/>
      <c r="I20" s="16"/>
    </row>
    <row r="21" spans="1:9" ht="40.5" customHeight="1" x14ac:dyDescent="0.3">
      <c r="A21" s="17"/>
      <c r="B21" s="17"/>
      <c r="C21" s="17"/>
      <c r="D21" s="17"/>
      <c r="E21" s="17"/>
      <c r="F21" s="17"/>
      <c r="G21" s="17"/>
      <c r="H21" s="18" t="s">
        <v>15</v>
      </c>
      <c r="I21" s="19" t="s">
        <v>16</v>
      </c>
    </row>
    <row r="22" spans="1:9" ht="52.5" customHeight="1" x14ac:dyDescent="0.3">
      <c r="A22" s="17"/>
      <c r="B22" s="17"/>
      <c r="C22" s="17"/>
      <c r="D22" s="17"/>
      <c r="E22" s="17"/>
      <c r="F22" s="17"/>
      <c r="G22" s="17"/>
      <c r="H22" s="18" t="s">
        <v>17</v>
      </c>
      <c r="I22" s="20" t="str">
        <f>'[1]1. 도급내용'!A3</f>
        <v>000 주식회사</v>
      </c>
    </row>
    <row r="23" spans="1:9" ht="22.5" customHeight="1" x14ac:dyDescent="0.3"/>
  </sheetData>
  <mergeCells count="7">
    <mergeCell ref="A20:I20"/>
    <mergeCell ref="A4:A5"/>
    <mergeCell ref="B4:B5"/>
    <mergeCell ref="C4:F4"/>
    <mergeCell ref="G4:I4"/>
    <mergeCell ref="A18:I18"/>
    <mergeCell ref="A19:I19"/>
  </mergeCells>
  <phoneticPr fontId="2" type="noConversion"/>
  <pageMargins left="0.7" right="0.7" top="0.64" bottom="0.53" header="0.3" footer="0.3"/>
  <pageSetup paperSize="9" scale="98" fitToHeight="0" orientation="landscape" r:id="rId1"/>
  <headerFooter>
    <oddHeader>&amp;R&amp;"Arial Narrow"&amp;11&amp;KA50034 Secret&amp;1#_x000D_</oddHeader>
    <oddFooter>&amp;L_x000D_&amp;1#&amp;"Arial Narrow"&amp;11&amp;K000000 © 2026 LG Chem, Ltd. All rights reserved.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별첨2. 수급인의 취급시설 및 인력명세서</vt:lpstr>
      <vt:lpstr>'별첨2. 수급인의 취급시설 및 인력명세서'!Print_Area</vt:lpstr>
    </vt:vector>
  </TitlesOfParts>
  <Company>LGCHEM.COM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박미란(Miran Park)[mpark10]/책임/석유화학.여수.환경안전2.환경안전3팀(환경P)</dc:creator>
  <cp:lastModifiedBy>박미란(Miran Park)[mpark10]/책임/석유화학.여수.환경안전2.환경안전3팀(환경P)</cp:lastModifiedBy>
  <dcterms:created xsi:type="dcterms:W3CDTF">2026-05-28T01:27:50Z</dcterms:created>
  <dcterms:modified xsi:type="dcterms:W3CDTF">2026-05-28T01:28:12Z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2ffd-b02b-40de-b3c2-4ef5f3bd46ff_Enabled">
    <vt:lpwstr>true</vt:lpwstr>
  </property>
  <property fmtid="{D5CDD505-2E9C-101B-9397-08002B2CF9AE}" pid="3" name="MSIP_Label_0d352ffd-b02b-40de-b3c2-4ef5f3bd46ff_SetDate">
    <vt:lpwstr>2026-09-04T02:54:34Z</vt:lpwstr>
  </property>
  <property fmtid="{D5CDD505-2E9C-101B-9397-08002B2CF9AE}" pid="4" name="MSIP_Label_0d352ffd-b02b-40de-b3c2-4ef5f3bd46ff_Method">
    <vt:lpwstr>Privileged</vt:lpwstr>
  </property>
  <property fmtid="{D5CDD505-2E9C-101B-9397-08002B2CF9AE}" pid="5" name="MSIP_Label_0d352ffd-b02b-40de-b3c2-4ef5f3bd46ff_Name">
    <vt:lpwstr>SRA_저작권 표시_20230922</vt:lpwstr>
  </property>
  <property fmtid="{D5CDD505-2E9C-101B-9397-08002B2CF9AE}" pid="6" name="MSIP_Label_0d352ffd-b02b-40de-b3c2-4ef5f3bd46ff_SiteId">
    <vt:lpwstr>7cca4631-c1a6-4959-a413-5672076edbd4</vt:lpwstr>
  </property>
  <property fmtid="{D5CDD505-2E9C-101B-9397-08002B2CF9AE}" pid="7" name="MSIP_Label_0d352ffd-b02b-40de-b3c2-4ef5f3bd46ff_ActionId">
    <vt:lpwstr>c286b2d2-91a8-445f-a48a-956d0e7af529</vt:lpwstr>
  </property>
  <property fmtid="{D5CDD505-2E9C-101B-9397-08002B2CF9AE}" pid="8" name="MSIP_Label_0d352ffd-b02b-40de-b3c2-4ef5f3bd46ff_ContentBits">
    <vt:lpwstr>0</vt:lpwstr>
  </property>
</Properties>
</file>